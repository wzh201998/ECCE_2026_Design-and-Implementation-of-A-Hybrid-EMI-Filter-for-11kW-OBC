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<sst xmlns="http://schemas.openxmlformats.org/spreadsheetml/2006/main" count="30" uniqueCount="29">
  <si>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Capacitor</t>
  </si>
  <si>
    <t>Part number</t>
  </si>
  <si>
    <t>Units</t>
  </si>
  <si>
    <t>Price(euro/1k)</t>
  </si>
  <si>
    <t>CX1</t>
  </si>
  <si>
    <t>890334026034</t>
  </si>
  <si>
    <t>CX2</t>
  </si>
  <si>
    <t>890334026030CS</t>
  </si>
  <si>
    <t>CX3</t>
  </si>
  <si>
    <t>SMP255FC6100MD32TR32</t>
  </si>
  <si>
    <t>Cy1</t>
  </si>
  <si>
    <t>DK1E3EA102M86RBH01</t>
  </si>
  <si>
    <t>Cy2</t>
  </si>
  <si>
    <t>8853522140011</t>
  </si>
  <si>
    <t>Cinj</t>
  </si>
  <si>
    <t>Inductor</t>
  </si>
  <si>
    <t>Lcm1</t>
  </si>
  <si>
    <t>Lcm2</t>
  </si>
  <si>
    <t>CT</t>
  </si>
  <si>
    <t>Tx22/14/!3 3C90</t>
  </si>
  <si>
    <t>LDM</t>
  </si>
  <si>
    <t>AEF</t>
  </si>
  <si>
    <t>OP-amp</t>
  </si>
  <si>
    <t>LM7171</t>
  </si>
  <si>
    <t>power</t>
  </si>
  <si>
    <t>TEC 3-2415</t>
  </si>
  <si>
    <t>LDO</t>
  </si>
  <si>
    <t>TPS7B8450QWDRBRQ1</t>
  </si>
  <si>
    <t>PCB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</si>
</sst>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E+00"/>
    <numFmt numFmtId="179" formatCode="0.00000E+00"/>
  </numFmts>
  <fonts count="21">
    <font>
      <sz val="11"/>
      <color theme="1"/>
      <name val="Calibri"/>
      <charset val="134"/>
      <scheme val="minor"/>
    </font>
    <font>
      <sz val="9"/>
      <color rgb="FF222222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178" fontId="0" fillId="0" borderId="0" xfId="0" applyNumberFormat="1"/>
    <xf numFmtId="179" fontId="0" fillId="0" borderId="0" xfId="0" applyNumberFormat="1"/>
    <xf numFmtId="0" fontId="1" fillId="0" borderId="0" xfId="0" applyFont="1"/>
    <xf numFmtId="3" fontId="1" fillId="0" borderId="0" xfId="0" applyNumberFormat="1" applyFont="1"/>
    <xf numFmtId="3" fontId="0" fillId="0" borderId="0" xfId="0" applyNumberFormat="1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abSelected="1" workbookViewId="0">
      <selection activeCell="J6" sqref="J6"/>
    </sheetView>
  </sheetViews>
  <sheetFormatPr defaultColWidth="9" defaultRowHeight="14.5" outlineLevelCol="5"/>
  <cols>
    <col min="2" max="2" width="25" customWidth="1"/>
    <col min="4" max="4" width="12" customWidth="1"/>
    <col min="5" max="5" width="14.3636363636364" customWidth="1"/>
    <col min="6" max="6" width="12.2727272727273"/>
  </cols>
  <sheetData>
    <row r="1" spans="1:1">
      <c r="A1" t="s">
        <v>0</v>
      </c>
    </row>
    <row r="2" spans="2:4">
      <c r="B2" t="s">
        <v>1</v>
      </c>
      <c r="C2" t="s">
        <v>2</v>
      </c>
      <c r="D2" t="s">
        <v>3</v>
      </c>
    </row>
    <row r="3" spans="1:6">
      <c r="A3" t="s">
        <v>4</v>
      </c>
      <c r="B3" s="6" t="s">
        <v>5</v>
      </c>
      <c r="C3">
        <v>3</v>
      </c>
      <c r="D3" s="1">
        <v>1.78376</v>
      </c>
      <c r="E3" s="2">
        <f t="shared" ref="E3:E8" si="0">D3*C3</f>
        <v>5.35128</v>
      </c>
      <c r="F3" s="2">
        <f>SUM(E3:E8)</f>
        <v>38.03209</v>
      </c>
    </row>
    <row r="4" spans="1:5">
      <c r="A4" t="s">
        <v>6</v>
      </c>
      <c r="B4" t="s">
        <v>7</v>
      </c>
      <c r="C4">
        <v>3</v>
      </c>
      <c r="D4">
        <v>1.455</v>
      </c>
      <c r="E4" s="2">
        <f t="shared" si="0"/>
        <v>4.365</v>
      </c>
    </row>
    <row r="5" spans="1:5">
      <c r="A5" t="s">
        <v>8</v>
      </c>
      <c r="B5" t="s">
        <v>9</v>
      </c>
      <c r="C5">
        <v>7</v>
      </c>
      <c r="D5">
        <v>2.52676</v>
      </c>
      <c r="E5" s="2">
        <f t="shared" si="0"/>
        <v>17.68732</v>
      </c>
    </row>
    <row r="6" spans="1:5">
      <c r="A6" t="s">
        <v>10</v>
      </c>
      <c r="B6" t="s">
        <v>11</v>
      </c>
      <c r="C6">
        <v>3</v>
      </c>
      <c r="D6">
        <v>1.10723</v>
      </c>
      <c r="E6" s="2">
        <f t="shared" si="0"/>
        <v>3.32169</v>
      </c>
    </row>
    <row r="7" spans="1:5">
      <c r="A7" t="s">
        <v>12</v>
      </c>
      <c r="B7" s="6" t="s">
        <v>13</v>
      </c>
      <c r="C7">
        <v>6</v>
      </c>
      <c r="D7">
        <v>0.73068</v>
      </c>
      <c r="E7" s="2">
        <f t="shared" si="0"/>
        <v>4.38408</v>
      </c>
    </row>
    <row r="8" spans="1:5">
      <c r="A8" t="s">
        <v>14</v>
      </c>
      <c r="B8" s="6" t="s">
        <v>13</v>
      </c>
      <c r="C8">
        <v>4</v>
      </c>
      <c r="D8">
        <v>0.73068</v>
      </c>
      <c r="E8" s="2">
        <f t="shared" si="0"/>
        <v>2.92272</v>
      </c>
    </row>
    <row r="9" spans="5:5">
      <c r="E9" s="2"/>
    </row>
    <row r="10" spans="1:5">
      <c r="A10" t="s">
        <v>15</v>
      </c>
      <c r="E10" s="2"/>
    </row>
    <row r="11" spans="1:6">
      <c r="A11" t="s">
        <v>16</v>
      </c>
      <c r="C11">
        <v>1</v>
      </c>
      <c r="D11">
        <v>5.75</v>
      </c>
      <c r="E11" s="2">
        <f>D11*C11</f>
        <v>5.75</v>
      </c>
      <c r="F11" s="2">
        <f>SUM(E11:E14)</f>
        <v>29.57452</v>
      </c>
    </row>
    <row r="12" spans="1:5">
      <c r="A12" t="s">
        <v>17</v>
      </c>
      <c r="C12">
        <v>1</v>
      </c>
      <c r="D12">
        <v>5.75</v>
      </c>
      <c r="E12" s="2">
        <f>D12*C12</f>
        <v>5.75</v>
      </c>
    </row>
    <row r="13" spans="1:5">
      <c r="A13" t="s">
        <v>18</v>
      </c>
      <c r="B13" s="3" t="s">
        <v>19</v>
      </c>
      <c r="C13" s="3">
        <v>1</v>
      </c>
      <c r="D13">
        <v>0.67452</v>
      </c>
      <c r="E13" s="2">
        <f>D13*C13</f>
        <v>0.67452</v>
      </c>
    </row>
    <row r="14" spans="1:5">
      <c r="A14" t="s">
        <v>20</v>
      </c>
      <c r="C14">
        <v>6</v>
      </c>
      <c r="D14">
        <v>2.9</v>
      </c>
      <c r="E14" s="2">
        <f>D14*C14</f>
        <v>17.4</v>
      </c>
    </row>
    <row r="15" spans="5:5">
      <c r="E15" s="2"/>
    </row>
    <row r="16" spans="1:5">
      <c r="A16" t="s">
        <v>21</v>
      </c>
      <c r="E16" s="2"/>
    </row>
    <row r="17" spans="1:6">
      <c r="A17" t="s">
        <v>22</v>
      </c>
      <c r="B17" t="s">
        <v>23</v>
      </c>
      <c r="C17" s="4">
        <v>1</v>
      </c>
      <c r="D17">
        <v>2.89229</v>
      </c>
      <c r="E17" s="2">
        <f>D17*C17</f>
        <v>2.89229</v>
      </c>
      <c r="F17" s="2">
        <f>SUM(E17:E19)</f>
        <v>4.908292</v>
      </c>
    </row>
    <row r="18" spans="1:5">
      <c r="A18" t="s">
        <v>24</v>
      </c>
      <c r="B18" t="s">
        <v>25</v>
      </c>
      <c r="C18">
        <v>1</v>
      </c>
      <c r="D18" s="5">
        <v>1.086002</v>
      </c>
      <c r="E18" s="2">
        <f>D18*C18</f>
        <v>1.086002</v>
      </c>
    </row>
    <row r="19" spans="1:5">
      <c r="A19" t="s">
        <v>26</v>
      </c>
      <c r="B19" t="s">
        <v>27</v>
      </c>
      <c r="C19">
        <v>1</v>
      </c>
      <c r="D19">
        <v>0.93</v>
      </c>
      <c r="E19" s="2">
        <f>D19*C19</f>
        <v>0.93</v>
      </c>
    </row>
    <row r="20" spans="1:5">
      <c r="A20" t="s">
        <v>28</v>
      </c>
      <c r="C20">
        <v>1</v>
      </c>
      <c r="D20">
        <v>1.6</v>
      </c>
      <c r="E20" s="2">
        <f>D20*C20</f>
        <v>1.6</v>
      </c>
    </row>
    <row r="21" spans="5:5">
      <c r="E21" s="2"/>
    </row>
    <row r="22" spans="5:5">
      <c r="E22" s="2">
        <f>SUM(E3:E20)</f>
        <v>74.114902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weihao zhao</cp:lastModifiedBy>
  <dcterms:created xsi:type="dcterms:W3CDTF">2025-07-21T09:59:00Z</dcterms:created>
  <dcterms:modified xsi:type="dcterms:W3CDTF">2026-05-04T13:20:25Z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24AA4B499C444F5CB4C67BCCF5904D8A_12</vt:lpwstr>
  </property>
  <property fmtid="{D5CDD505-2E9C-101B-9397-08002B2CF9AE}" pid="3" name="KSOProductBuildVer">
    <vt:lpwstr>1033-12.2.0.23196</vt:lpwstr>
  </property>
</Properties>
</file>